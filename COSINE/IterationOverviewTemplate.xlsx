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dir\Develop\IOCS\"/>
    </mc:Choice>
  </mc:AlternateContent>
  <xr:revisionPtr revIDLastSave="0" documentId="13_ncr:1_{DDC74F7E-3594-4E59-895C-58A612EF2CCC}" xr6:coauthVersionLast="47" xr6:coauthVersionMax="47" xr10:uidLastSave="{00000000-0000-0000-0000-000000000000}"/>
  <bookViews>
    <workbookView xWindow="-76908" yWindow="-1860" windowWidth="30936" windowHeight="16776" xr2:uid="{D04A4592-C88C-4601-B11E-D286C4466B89}"/>
  </bookViews>
  <sheets>
    <sheet name="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I22" i="1"/>
  <c r="J22" i="1"/>
  <c r="K22" i="1"/>
  <c r="L22" i="1"/>
  <c r="C22" i="1"/>
  <c r="S25" i="1"/>
  <c r="S17" i="1"/>
  <c r="J23" i="1" l="1"/>
  <c r="J25" i="1" s="1"/>
  <c r="L23" i="1"/>
  <c r="L25" i="1" s="1"/>
  <c r="K23" i="1"/>
  <c r="K25" i="1" s="1"/>
  <c r="C23" i="1"/>
  <c r="C25" i="1" s="1"/>
  <c r="D23" i="1"/>
  <c r="D25" i="1" s="1"/>
  <c r="E23" i="1"/>
  <c r="E25" i="1" s="1"/>
  <c r="F23" i="1"/>
  <c r="F25" i="1" s="1"/>
  <c r="G23" i="1"/>
  <c r="G25" i="1" s="1"/>
  <c r="H23" i="1"/>
  <c r="H25" i="1" s="1"/>
  <c r="I23" i="1"/>
  <c r="I25" i="1" s="1"/>
  <c r="L26" i="1" l="1"/>
  <c r="K26" i="1"/>
  <c r="J26" i="1"/>
  <c r="I26" i="1"/>
  <c r="H26" i="1"/>
  <c r="G26" i="1"/>
  <c r="E26" i="1"/>
  <c r="F26" i="1"/>
  <c r="D26" i="1"/>
</calcChain>
</file>

<file path=xl/sharedStrings.xml><?xml version="1.0" encoding="utf-8"?>
<sst xmlns="http://schemas.openxmlformats.org/spreadsheetml/2006/main" count="78" uniqueCount="52">
  <si>
    <t>Iteration</t>
  </si>
  <si>
    <t>unit</t>
  </si>
  <si>
    <t>ASHP</t>
  </si>
  <si>
    <t>kW</t>
  </si>
  <si>
    <t xml:space="preserve">ASHP </t>
  </si>
  <si>
    <t>€/kW</t>
  </si>
  <si>
    <t>GSHP</t>
  </si>
  <si>
    <t>Borefield</t>
  </si>
  <si>
    <t>m</t>
  </si>
  <si>
    <t>€/m</t>
  </si>
  <si>
    <t>nBor</t>
  </si>
  <si>
    <t>Tank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</si>
  <si>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</si>
  <si>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Buffertank</t>
  </si>
  <si>
    <r>
      <t>€/m</t>
    </r>
    <r>
      <rPr>
        <vertAlign val="superscript"/>
        <sz val="11"/>
        <color theme="1"/>
        <rFont val="Aptos Narrow"/>
        <family val="2"/>
        <scheme val="minor"/>
      </rPr>
      <t>3</t>
    </r>
  </si>
  <si>
    <t>PV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</si>
  <si>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</si>
  <si>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€/m</t>
    </r>
    <r>
      <rPr>
        <vertAlign val="superscript"/>
        <sz val="11"/>
        <color theme="1"/>
        <rFont val="Aptos Narrow"/>
        <family val="2"/>
        <scheme val="minor"/>
      </rPr>
      <t>2</t>
    </r>
  </si>
  <si>
    <t>STC</t>
  </si>
  <si>
    <t>PVT</t>
  </si>
  <si>
    <t>Offtake Elec.</t>
  </si>
  <si>
    <t>MWh</t>
  </si>
  <si>
    <r>
      <t>p</t>
    </r>
    <r>
      <rPr>
        <vertAlign val="subscript"/>
        <sz val="11"/>
        <color theme="1"/>
        <rFont val="Aptos Narrow"/>
        <family val="2"/>
        <scheme val="minor"/>
      </rPr>
      <t>el, offtake</t>
    </r>
  </si>
  <si>
    <t>€/MWh</t>
  </si>
  <si>
    <t>Injection Elec.</t>
  </si>
  <si>
    <r>
      <t>p</t>
    </r>
    <r>
      <rPr>
        <vertAlign val="subscript"/>
        <sz val="11"/>
        <color theme="1"/>
        <rFont val="Aptos Narrow"/>
        <family val="2"/>
        <scheme val="minor"/>
      </rPr>
      <t>el, inject</t>
    </r>
  </si>
  <si>
    <t>Hea discomfort</t>
  </si>
  <si>
    <t>Coo discomfort</t>
  </si>
  <si>
    <t>Tot discomfort</t>
  </si>
  <si>
    <t>Kh</t>
  </si>
  <si>
    <t>r</t>
  </si>
  <si>
    <t>CAPEX</t>
  </si>
  <si>
    <t>N</t>
  </si>
  <si>
    <t>OPEX</t>
  </si>
  <si>
    <t>TCO</t>
  </si>
  <si>
    <t>PV_annuity</t>
  </si>
  <si>
    <t>BAT</t>
  </si>
  <si>
    <t>kWh</t>
  </si>
  <si>
    <t>€/kWh</t>
  </si>
  <si>
    <t>BOI</t>
  </si>
  <si>
    <t>Offtake Gas</t>
  </si>
  <si>
    <r>
      <t>p</t>
    </r>
    <r>
      <rPr>
        <vertAlign val="subscript"/>
        <sz val="11"/>
        <color theme="1"/>
        <rFont val="Aptos Narrow"/>
        <family val="2"/>
        <scheme val="minor"/>
      </rPr>
      <t>gas, offtake</t>
    </r>
  </si>
  <si>
    <t>maintCost</t>
  </si>
  <si>
    <t>Computational times</t>
  </si>
  <si>
    <t>OCP compilation</t>
  </si>
  <si>
    <t>OCP optimization</t>
  </si>
  <si>
    <t>load_params</t>
  </si>
  <si>
    <t>write inputs</t>
  </si>
  <si>
    <t>size_opt</t>
  </si>
  <si>
    <t>s</t>
  </si>
  <si>
    <t>total iteration</t>
  </si>
  <si>
    <t>ASCHI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</si>
</sst>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/>
    <xf numFmtId="0" fontId="2" fillId="0" borderId="3" xfId="0" applyFont="1" applyBorder="1"/>
    <xf numFmtId="0" fontId="0" fillId="0" borderId="0" xfId="0" applyAlignment="1">
      <alignment horizontal="left" vertical="center"/>
    </xf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15" xfId="0" applyBorder="1" applyAlignment="1">
      <alignment horizontal="left" vertical="center"/>
    </xf>
    <xf numFmtId="164" fontId="0" fillId="0" borderId="15" xfId="0" applyNumberFormat="1" applyBorder="1"/>
    <xf numFmtId="9" fontId="0" fillId="0" borderId="16" xfId="1" applyFont="1" applyBorder="1"/>
    <xf numFmtId="9" fontId="0" fillId="0" borderId="17" xfId="1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/>
    <xf numFmtId="0" fontId="0" fillId="0" borderId="24" xfId="0" applyBorder="1"/>
    <xf numFmtId="0" fontId="0" fillId="0" borderId="10" xfId="0" applyBorder="1" applyAlignment="1">
      <alignment horizontal="right"/>
    </xf>
    <xf numFmtId="0" fontId="2" fillId="0" borderId="25" xfId="0" applyFont="1" applyBorder="1" applyAlignment="1"/>
    <xf numFmtId="0" fontId="0" fillId="0" borderId="25" xfId="0" applyBorder="1"/>
    <xf numFmtId="0" fontId="0" fillId="0" borderId="26" xfId="0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4" xfId="0" applyFont="1" applyBorder="1"/>
    <xf numFmtId="0" fontId="0" fillId="0" borderId="12" xfId="0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7" xfId="0" applyFont="1" applyBorder="1"/>
    <xf numFmtId="0" fontId="0" fillId="0" borderId="28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2" fillId="0" borderId="31" xfId="0" applyFont="1" applyBorder="1" applyAlignment="1"/>
    <xf numFmtId="0" fontId="2" fillId="0" borderId="32" xfId="0" applyFont="1" applyBorder="1"/>
    <xf numFmtId="0" fontId="2" fillId="0" borderId="3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6ADF-5137-46E8-B11A-B64F8E545CE9}">
  <dimension ref="A1:S34"/>
  <sheetViews>
    <sheetView tabSelected="1" topLeftCell="A6" zoomScale="115" zoomScaleNormal="115" workbookViewId="0">
      <selection activeCell="C22" sqref="C22"/>
    </sheetView>
  </sheetViews>
  <sheetFormatPr defaultRowHeight="14.5" x14ac:dyDescent="0.35"/>
  <cols>
    <col min="1" max="1" width="18" customWidth="1"/>
  </cols>
  <sheetData>
    <row r="1" spans="1:19" ht="15" thickBot="1" x14ac:dyDescent="0.4">
      <c r="A1" s="1" t="s">
        <v>0</v>
      </c>
      <c r="B1" s="46"/>
      <c r="C1" s="40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32">
        <v>9</v>
      </c>
    </row>
    <row r="2" spans="1:19" ht="15" thickBot="1" x14ac:dyDescent="0.4">
      <c r="A2" s="4"/>
      <c r="B2" s="47" t="s">
        <v>1</v>
      </c>
      <c r="C2" s="24"/>
      <c r="D2" s="24"/>
      <c r="E2" s="24"/>
      <c r="F2" s="24"/>
      <c r="G2" s="24"/>
      <c r="H2" s="24"/>
      <c r="I2" s="24"/>
      <c r="J2" s="22"/>
      <c r="K2" s="23"/>
      <c r="L2" s="25"/>
    </row>
    <row r="3" spans="1:19" x14ac:dyDescent="0.35">
      <c r="A3" s="5" t="s">
        <v>2</v>
      </c>
      <c r="B3" s="7" t="s">
        <v>3</v>
      </c>
      <c r="C3" s="41"/>
      <c r="D3" s="6"/>
      <c r="E3" s="6"/>
      <c r="F3" s="6"/>
      <c r="G3" s="6"/>
      <c r="H3" s="6"/>
      <c r="I3" s="6"/>
      <c r="J3" s="6"/>
      <c r="K3" s="6"/>
      <c r="L3" s="7"/>
      <c r="Q3" s="8" t="s">
        <v>4</v>
      </c>
      <c r="R3" s="6" t="s">
        <v>5</v>
      </c>
      <c r="S3" s="7"/>
    </row>
    <row r="4" spans="1:19" x14ac:dyDescent="0.35">
      <c r="A4" s="9" t="s">
        <v>6</v>
      </c>
      <c r="B4" s="11" t="s">
        <v>3</v>
      </c>
      <c r="C4" s="42"/>
      <c r="D4" s="10"/>
      <c r="E4" s="10"/>
      <c r="F4" s="10"/>
      <c r="G4" s="10"/>
      <c r="H4" s="10"/>
      <c r="I4" s="10"/>
      <c r="J4" s="10"/>
      <c r="K4" s="10"/>
      <c r="L4" s="11"/>
      <c r="Q4" s="12" t="s">
        <v>6</v>
      </c>
      <c r="R4" s="10" t="s">
        <v>5</v>
      </c>
      <c r="S4" s="11"/>
    </row>
    <row r="5" spans="1:19" x14ac:dyDescent="0.35">
      <c r="A5" s="9" t="s">
        <v>7</v>
      </c>
      <c r="B5" s="11" t="s">
        <v>8</v>
      </c>
      <c r="C5" s="42"/>
      <c r="D5" s="10"/>
      <c r="E5" s="10"/>
      <c r="F5" s="10"/>
      <c r="G5" s="10"/>
      <c r="H5" s="10"/>
      <c r="I5" s="10"/>
      <c r="J5" s="10"/>
      <c r="K5" s="10"/>
      <c r="L5" s="11"/>
      <c r="Q5" s="12" t="s">
        <v>7</v>
      </c>
      <c r="R5" s="10" t="s">
        <v>9</v>
      </c>
      <c r="S5" s="11"/>
    </row>
    <row r="6" spans="1:19" x14ac:dyDescent="0.35">
      <c r="A6" s="9"/>
      <c r="B6" s="11" t="s">
        <v>8</v>
      </c>
      <c r="C6" s="42"/>
      <c r="D6" s="10"/>
      <c r="E6" s="10"/>
      <c r="F6" s="10"/>
      <c r="G6" s="10"/>
      <c r="H6" s="10"/>
      <c r="I6" s="10"/>
      <c r="J6" s="10"/>
      <c r="K6" s="10"/>
      <c r="L6" s="11"/>
      <c r="Q6" s="33"/>
      <c r="R6" s="34"/>
      <c r="S6" s="35"/>
    </row>
    <row r="7" spans="1:19" x14ac:dyDescent="0.35">
      <c r="A7" s="9"/>
      <c r="B7" s="11" t="s">
        <v>10</v>
      </c>
      <c r="C7" s="42"/>
      <c r="D7" s="10"/>
      <c r="E7" s="10"/>
      <c r="F7" s="10"/>
      <c r="G7" s="10"/>
      <c r="H7" s="10"/>
      <c r="I7" s="10"/>
      <c r="J7" s="10"/>
      <c r="K7" s="10"/>
      <c r="L7" s="11"/>
      <c r="Q7" s="59"/>
      <c r="R7" s="60"/>
      <c r="S7" s="61"/>
    </row>
    <row r="8" spans="1:19" x14ac:dyDescent="0.35">
      <c r="A8" s="9" t="s">
        <v>51</v>
      </c>
      <c r="B8" s="11" t="s">
        <v>3</v>
      </c>
      <c r="C8" s="42"/>
      <c r="D8" s="10"/>
      <c r="E8" s="10"/>
      <c r="F8" s="10"/>
      <c r="G8" s="10"/>
      <c r="H8" s="10"/>
      <c r="I8" s="10"/>
      <c r="J8" s="10"/>
      <c r="K8" s="10"/>
      <c r="L8" s="11"/>
      <c r="Q8" s="36"/>
      <c r="R8" s="37"/>
      <c r="S8" s="38"/>
    </row>
    <row r="9" spans="1:19" ht="16.5" x14ac:dyDescent="0.35">
      <c r="A9" s="9" t="s">
        <v>11</v>
      </c>
      <c r="B9" s="11" t="s">
        <v>12</v>
      </c>
      <c r="C9" s="42"/>
      <c r="D9" s="10"/>
      <c r="E9" s="10"/>
      <c r="F9" s="10"/>
      <c r="G9" s="10"/>
      <c r="H9" s="10"/>
      <c r="I9" s="10"/>
      <c r="J9" s="10"/>
      <c r="K9" s="10"/>
      <c r="L9" s="11"/>
      <c r="Q9" s="12" t="s">
        <v>13</v>
      </c>
      <c r="R9" s="10" t="s">
        <v>14</v>
      </c>
      <c r="S9" s="11"/>
    </row>
    <row r="10" spans="1:19" ht="16.5" x14ac:dyDescent="0.35">
      <c r="A10" s="9" t="s">
        <v>15</v>
      </c>
      <c r="B10" s="11" t="s">
        <v>16</v>
      </c>
      <c r="C10" s="43"/>
      <c r="D10" s="10"/>
      <c r="E10" s="10"/>
      <c r="F10" s="10"/>
      <c r="G10" s="10"/>
      <c r="H10" s="10"/>
      <c r="I10" s="10"/>
      <c r="J10" s="10"/>
      <c r="K10" s="10"/>
      <c r="L10" s="11"/>
      <c r="Q10" s="12" t="s">
        <v>15</v>
      </c>
      <c r="R10" s="10" t="s">
        <v>17</v>
      </c>
      <c r="S10" s="11"/>
    </row>
    <row r="11" spans="1:19" ht="16.5" x14ac:dyDescent="0.35">
      <c r="A11" s="9" t="s">
        <v>18</v>
      </c>
      <c r="B11" s="11" t="s">
        <v>16</v>
      </c>
      <c r="C11" s="43"/>
      <c r="D11" s="10"/>
      <c r="E11" s="10"/>
      <c r="F11" s="10"/>
      <c r="G11" s="10"/>
      <c r="H11" s="10"/>
      <c r="I11" s="10"/>
      <c r="J11" s="10"/>
      <c r="K11" s="10"/>
      <c r="L11" s="11"/>
      <c r="Q11" s="12" t="s">
        <v>18</v>
      </c>
      <c r="R11" s="10" t="s">
        <v>17</v>
      </c>
      <c r="S11" s="11"/>
    </row>
    <row r="12" spans="1:19" ht="16.5" x14ac:dyDescent="0.35">
      <c r="A12" s="9" t="s">
        <v>19</v>
      </c>
      <c r="B12" s="11" t="s">
        <v>16</v>
      </c>
      <c r="C12" s="43"/>
      <c r="D12" s="10"/>
      <c r="E12" s="10"/>
      <c r="F12" s="10"/>
      <c r="G12" s="10"/>
      <c r="H12" s="10"/>
      <c r="I12" s="10"/>
      <c r="J12" s="10"/>
      <c r="K12" s="10"/>
      <c r="L12" s="11"/>
      <c r="Q12" s="12" t="s">
        <v>19</v>
      </c>
      <c r="R12" s="10" t="s">
        <v>17</v>
      </c>
      <c r="S12" s="11"/>
    </row>
    <row r="13" spans="1:19" x14ac:dyDescent="0.35">
      <c r="A13" s="9" t="s">
        <v>36</v>
      </c>
      <c r="B13" s="11" t="s">
        <v>37</v>
      </c>
      <c r="C13" s="43"/>
      <c r="D13" s="10"/>
      <c r="E13" s="10"/>
      <c r="F13" s="10"/>
      <c r="G13" s="10"/>
      <c r="H13" s="10"/>
      <c r="I13" s="10"/>
      <c r="J13" s="10"/>
      <c r="K13" s="10"/>
      <c r="L13" s="11"/>
      <c r="Q13" s="12" t="s">
        <v>36</v>
      </c>
      <c r="R13" s="10" t="s">
        <v>38</v>
      </c>
      <c r="S13" s="11">
        <v>500</v>
      </c>
    </row>
    <row r="14" spans="1:19" ht="15" thickBot="1" x14ac:dyDescent="0.4">
      <c r="A14" s="9" t="s">
        <v>39</v>
      </c>
      <c r="B14" s="11" t="s">
        <v>3</v>
      </c>
      <c r="C14" s="44"/>
      <c r="D14" s="13"/>
      <c r="E14" s="13"/>
      <c r="F14" s="13"/>
      <c r="G14" s="13"/>
      <c r="H14" s="13"/>
      <c r="I14" s="13"/>
      <c r="J14" s="13"/>
      <c r="K14" s="13"/>
      <c r="L14" s="14"/>
      <c r="Q14" s="12" t="s">
        <v>39</v>
      </c>
      <c r="R14" s="10" t="s">
        <v>5</v>
      </c>
      <c r="S14" s="11">
        <v>150</v>
      </c>
    </row>
    <row r="15" spans="1:19" ht="15" thickBot="1" x14ac:dyDescent="0.4">
      <c r="A15" s="9"/>
      <c r="B15" s="11"/>
      <c r="C15" s="45"/>
      <c r="D15" s="27"/>
      <c r="E15" s="27"/>
      <c r="F15" s="27"/>
      <c r="G15" s="27"/>
      <c r="H15" s="27"/>
      <c r="I15" s="27"/>
      <c r="J15" s="28"/>
      <c r="K15" s="28"/>
      <c r="L15" s="29"/>
      <c r="Q15" s="12"/>
      <c r="R15" s="10"/>
      <c r="S15" s="11"/>
    </row>
    <row r="16" spans="1:19" ht="16.5" x14ac:dyDescent="0.35">
      <c r="A16" s="9" t="s">
        <v>40</v>
      </c>
      <c r="B16" s="11" t="s">
        <v>21</v>
      </c>
      <c r="C16" s="30"/>
      <c r="D16" s="31"/>
      <c r="E16" s="31"/>
      <c r="F16" s="31"/>
      <c r="G16" s="31"/>
      <c r="H16" s="31"/>
      <c r="I16" s="31"/>
      <c r="J16" s="6"/>
      <c r="K16" s="6"/>
      <c r="L16" s="7"/>
      <c r="Q16" s="12" t="s">
        <v>41</v>
      </c>
      <c r="R16" s="10" t="s">
        <v>23</v>
      </c>
      <c r="S16" s="11">
        <v>50</v>
      </c>
    </row>
    <row r="17" spans="1:19" ht="16.5" x14ac:dyDescent="0.35">
      <c r="A17" s="9" t="s">
        <v>20</v>
      </c>
      <c r="B17" s="11" t="s">
        <v>21</v>
      </c>
      <c r="C17" s="9"/>
      <c r="D17" s="10"/>
      <c r="E17" s="26"/>
      <c r="F17" s="26"/>
      <c r="G17" s="26"/>
      <c r="H17" s="26"/>
      <c r="I17" s="26"/>
      <c r="J17" s="10"/>
      <c r="K17" s="10"/>
      <c r="L17" s="11"/>
      <c r="Q17" s="12" t="s">
        <v>22</v>
      </c>
      <c r="R17" s="10" t="s">
        <v>23</v>
      </c>
      <c r="S17" s="11">
        <f>0.2*1000</f>
        <v>200</v>
      </c>
    </row>
    <row r="18" spans="1:19" ht="16.5" x14ac:dyDescent="0.35">
      <c r="A18" s="9" t="s">
        <v>24</v>
      </c>
      <c r="B18" s="11" t="s">
        <v>21</v>
      </c>
      <c r="C18" s="9"/>
      <c r="D18" s="10"/>
      <c r="E18" s="10"/>
      <c r="F18" s="10"/>
      <c r="G18" s="10"/>
      <c r="H18" s="10"/>
      <c r="I18" s="10"/>
      <c r="J18" s="10"/>
      <c r="K18" s="10"/>
      <c r="L18" s="11"/>
      <c r="Q18" s="12" t="s">
        <v>25</v>
      </c>
      <c r="R18" s="10" t="s">
        <v>23</v>
      </c>
      <c r="S18" s="11">
        <v>50</v>
      </c>
    </row>
    <row r="19" spans="1:19" x14ac:dyDescent="0.35">
      <c r="A19" s="9" t="s">
        <v>26</v>
      </c>
      <c r="B19" s="11"/>
      <c r="C19" s="9"/>
      <c r="D19" s="10"/>
      <c r="E19" s="10"/>
      <c r="F19" s="10"/>
      <c r="G19" s="10"/>
      <c r="H19" s="10"/>
      <c r="I19" s="10"/>
      <c r="J19" s="10"/>
      <c r="K19" s="10"/>
      <c r="L19" s="11"/>
      <c r="Q19" s="62"/>
      <c r="R19" s="63"/>
      <c r="S19" s="64"/>
    </row>
    <row r="20" spans="1:19" x14ac:dyDescent="0.35">
      <c r="A20" s="9" t="s">
        <v>27</v>
      </c>
      <c r="B20" s="11"/>
      <c r="C20" s="9"/>
      <c r="D20" s="10"/>
      <c r="E20" s="10"/>
      <c r="F20" s="10"/>
      <c r="G20" s="10"/>
      <c r="H20" s="10"/>
      <c r="I20" s="10"/>
      <c r="J20" s="10"/>
      <c r="K20" s="10"/>
      <c r="L20" s="11"/>
      <c r="Q20" s="65"/>
      <c r="R20" s="66"/>
      <c r="S20" s="67"/>
    </row>
    <row r="21" spans="1:19" x14ac:dyDescent="0.35">
      <c r="A21" s="9" t="s">
        <v>28</v>
      </c>
      <c r="B21" s="11" t="s">
        <v>29</v>
      </c>
      <c r="C21" s="9"/>
      <c r="D21" s="10"/>
      <c r="E21" s="10"/>
      <c r="F21" s="10"/>
      <c r="G21" s="10"/>
      <c r="H21" s="10"/>
      <c r="I21" s="10"/>
      <c r="J21" s="10"/>
      <c r="K21" s="10"/>
      <c r="L21" s="11"/>
      <c r="Q21" s="12" t="s">
        <v>30</v>
      </c>
      <c r="R21" s="10"/>
      <c r="S21" s="11">
        <v>0.05</v>
      </c>
    </row>
    <row r="22" spans="1:19" ht="15" thickBot="1" x14ac:dyDescent="0.4">
      <c r="A22" s="9" t="s">
        <v>31</v>
      </c>
      <c r="B22" s="11"/>
      <c r="C22" s="15">
        <f>(C3/1000)*$S$3+(C4/1000)*$S$4+(C5*C7)*$S$5+C9*$S$9+C10*$S$10+C11*$S$11+C12*$S$12</f>
        <v>0</v>
      </c>
      <c r="D22" s="16">
        <f>(D3/1000)*$S$3+(D4/1000)*$S$4+(D5*D7)*$S$5+D9*$S$9+D10*$S$10+D11*$S$11+D12*$S$12</f>
        <v>0</v>
      </c>
      <c r="E22" s="16">
        <f>(E3/1000)*$S$3+(E4/1000)*$S$4+(E5*E7)*$S$5+E9*$S$9+E10*$S$10+E11*$S$11+E12*$S$12</f>
        <v>0</v>
      </c>
      <c r="F22" s="16">
        <f>(F3/1000)*$S$3+(F4/1000)*$S$4+(F5*F7)*$S$5+F9*$S$9+F10*$S$10+F11*$S$11+F12*$S$12</f>
        <v>0</v>
      </c>
      <c r="G22" s="16">
        <f>(G3/1000)*$S$3+(G4/1000)*$S$4+(G5*G7)*$S$5+G9*$S$9+G10*$S$10+G11*$S$11+G12*$S$12</f>
        <v>0</v>
      </c>
      <c r="H22" s="16">
        <f>(H3/1000)*$S$3+(H4/1000)*$S$4+(H5*H7)*$S$5+H9*$S$9+H10*$S$10+H11*$S$11+H12*$S$12</f>
        <v>0</v>
      </c>
      <c r="I22" s="16">
        <f>(I3/1000)*$S$3+(I4/1000)*$S$4+(I5*I7)*$S$5+I9*$S$9+I10*$S$10+I11*$S$11+I12*$S$12</f>
        <v>0</v>
      </c>
      <c r="J22" s="16">
        <f>(J3/1000)*$S$3+(J4/1000)*$S$4+(J5*J7)*$S$5+J9*$S$9+J10*$S$10+J11*$S$11+J12*$S$12</f>
        <v>0</v>
      </c>
      <c r="K22" s="16">
        <f>(K3/1000)*$S$3+(K4/1000)*$S$4+(K5*K7)*$S$5+K9*$S$9+K10*$S$10+K11*$S$11+K12*$S$12</f>
        <v>0</v>
      </c>
      <c r="L22" s="17">
        <f>(L3/1000)*$S$3+(L4/1000)*$S$4+(L5*L7)*$S$5+L9*$S$9+L10*$S$10+L11*$S$11+L12*$S$12</f>
        <v>0</v>
      </c>
      <c r="Q22" s="18" t="s">
        <v>32</v>
      </c>
      <c r="R22" s="13"/>
      <c r="S22" s="14">
        <v>20</v>
      </c>
    </row>
    <row r="23" spans="1:19" x14ac:dyDescent="0.35">
      <c r="A23" s="9" t="s">
        <v>33</v>
      </c>
      <c r="B23" s="11"/>
      <c r="C23" s="15">
        <f t="shared" ref="C23:L23" si="0">C17*$S$17*$S$25 + C18*$S$18*$S$25</f>
        <v>0</v>
      </c>
      <c r="D23" s="16">
        <f t="shared" si="0"/>
        <v>0</v>
      </c>
      <c r="E23" s="16">
        <f t="shared" si="0"/>
        <v>0</v>
      </c>
      <c r="F23" s="16">
        <f t="shared" si="0"/>
        <v>0</v>
      </c>
      <c r="G23" s="16">
        <f t="shared" si="0"/>
        <v>0</v>
      </c>
      <c r="H23" s="16">
        <f t="shared" si="0"/>
        <v>0</v>
      </c>
      <c r="I23" s="16">
        <f t="shared" si="0"/>
        <v>0</v>
      </c>
      <c r="J23" s="16">
        <f t="shared" si="0"/>
        <v>0</v>
      </c>
      <c r="K23" s="16">
        <f t="shared" si="0"/>
        <v>0</v>
      </c>
      <c r="L23" s="17">
        <f t="shared" si="0"/>
        <v>0</v>
      </c>
      <c r="Q23" s="3"/>
    </row>
    <row r="24" spans="1:19" x14ac:dyDescent="0.35">
      <c r="A24" s="9" t="s">
        <v>42</v>
      </c>
      <c r="B24" s="11"/>
      <c r="C24" s="15"/>
      <c r="D24" s="16"/>
      <c r="E24" s="16"/>
      <c r="F24" s="16"/>
      <c r="G24" s="16"/>
      <c r="H24" s="16"/>
      <c r="I24" s="16"/>
      <c r="J24" s="16"/>
      <c r="K24" s="16"/>
      <c r="L24" s="17"/>
      <c r="Q24" s="3"/>
    </row>
    <row r="25" spans="1:19" x14ac:dyDescent="0.35">
      <c r="A25" s="9" t="s">
        <v>34</v>
      </c>
      <c r="B25" s="11"/>
      <c r="C25" s="15">
        <f t="shared" ref="C25:L25" si="1">C22+C23</f>
        <v>0</v>
      </c>
      <c r="D25" s="16">
        <f t="shared" si="1"/>
        <v>0</v>
      </c>
      <c r="E25" s="16">
        <f t="shared" si="1"/>
        <v>0</v>
      </c>
      <c r="F25" s="16">
        <f t="shared" si="1"/>
        <v>0</v>
      </c>
      <c r="G25" s="16">
        <f t="shared" si="1"/>
        <v>0</v>
      </c>
      <c r="H25" s="16">
        <f t="shared" si="1"/>
        <v>0</v>
      </c>
      <c r="I25" s="16">
        <f t="shared" si="1"/>
        <v>0</v>
      </c>
      <c r="J25" s="16">
        <f t="shared" si="1"/>
        <v>0</v>
      </c>
      <c r="K25" s="16">
        <f t="shared" si="1"/>
        <v>0</v>
      </c>
      <c r="L25" s="17">
        <f t="shared" si="1"/>
        <v>0</v>
      </c>
      <c r="Q25" s="3" t="s">
        <v>35</v>
      </c>
      <c r="S25">
        <f>(1/S21)*(1 - (1/(1+S21)^S22))</f>
        <v>12.462210342539988</v>
      </c>
    </row>
    <row r="26" spans="1:19" ht="15" thickBot="1" x14ac:dyDescent="0.4">
      <c r="A26" s="9"/>
      <c r="B26" s="11"/>
      <c r="C26" s="19"/>
      <c r="D26" s="20" t="e">
        <f>(D25-$C$25)/$C$25</f>
        <v>#DIV/0!</v>
      </c>
      <c r="E26" s="20" t="e">
        <f t="shared" ref="E26:L26" si="2">(E25-$C$25)/$C$25</f>
        <v>#DIV/0!</v>
      </c>
      <c r="F26" s="20" t="e">
        <f t="shared" si="2"/>
        <v>#DIV/0!</v>
      </c>
      <c r="G26" s="20" t="e">
        <f t="shared" si="2"/>
        <v>#DIV/0!</v>
      </c>
      <c r="H26" s="20" t="e">
        <f t="shared" si="2"/>
        <v>#DIV/0!</v>
      </c>
      <c r="I26" s="20" t="e">
        <f t="shared" si="2"/>
        <v>#DIV/0!</v>
      </c>
      <c r="J26" s="20" t="e">
        <f>(J25-$C$25)/$C$25</f>
        <v>#DIV/0!</v>
      </c>
      <c r="K26" s="20" t="e">
        <f t="shared" si="2"/>
        <v>#DIV/0!</v>
      </c>
      <c r="L26" s="21" t="e">
        <f t="shared" si="2"/>
        <v>#DIV/0!</v>
      </c>
    </row>
    <row r="27" spans="1:19" ht="15" thickBot="1" x14ac:dyDescent="0.4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9" ht="15" thickBot="1" x14ac:dyDescent="0.4">
      <c r="A28" s="68" t="s">
        <v>43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9" x14ac:dyDescent="0.35">
      <c r="A29" s="49" t="s">
        <v>47</v>
      </c>
      <c r="B29" s="50" t="s">
        <v>49</v>
      </c>
      <c r="C29" s="55"/>
      <c r="D29" s="56"/>
      <c r="E29" s="56"/>
      <c r="F29" s="56"/>
      <c r="G29" s="56"/>
      <c r="H29" s="56"/>
      <c r="I29" s="56"/>
      <c r="J29" s="56"/>
      <c r="K29" s="56"/>
      <c r="L29" s="57"/>
    </row>
    <row r="30" spans="1:19" x14ac:dyDescent="0.35">
      <c r="A30" s="51" t="s">
        <v>46</v>
      </c>
      <c r="B30" s="52" t="s">
        <v>49</v>
      </c>
      <c r="C30" s="48"/>
      <c r="D30" s="39"/>
      <c r="E30" s="39"/>
      <c r="F30" s="39"/>
      <c r="G30" s="39"/>
      <c r="H30" s="39"/>
      <c r="I30" s="39"/>
      <c r="J30" s="39"/>
      <c r="K30" s="39"/>
      <c r="L30" s="58"/>
    </row>
    <row r="31" spans="1:19" x14ac:dyDescent="0.35">
      <c r="A31" s="51" t="s">
        <v>48</v>
      </c>
      <c r="B31" s="52" t="s">
        <v>49</v>
      </c>
      <c r="C31" s="48"/>
      <c r="D31" s="39"/>
      <c r="E31" s="39"/>
      <c r="F31" s="39"/>
      <c r="G31" s="39"/>
      <c r="H31" s="39"/>
      <c r="I31" s="39"/>
      <c r="J31" s="39"/>
      <c r="K31" s="39"/>
      <c r="L31" s="58"/>
    </row>
    <row r="32" spans="1:19" x14ac:dyDescent="0.35">
      <c r="A32" s="9" t="s">
        <v>44</v>
      </c>
      <c r="B32" s="52" t="s">
        <v>49</v>
      </c>
      <c r="C32" s="43"/>
      <c r="D32" s="10"/>
      <c r="E32" s="10"/>
      <c r="F32" s="10"/>
      <c r="G32" s="10"/>
      <c r="H32" s="10"/>
      <c r="I32" s="10"/>
      <c r="J32" s="10"/>
      <c r="K32" s="10"/>
      <c r="L32" s="11"/>
    </row>
    <row r="33" spans="1:12" x14ac:dyDescent="0.35">
      <c r="A33" s="9" t="s">
        <v>45</v>
      </c>
      <c r="B33" s="52" t="s">
        <v>49</v>
      </c>
      <c r="C33" s="43"/>
      <c r="D33" s="10"/>
      <c r="E33" s="10"/>
      <c r="F33" s="10"/>
      <c r="G33" s="10"/>
      <c r="H33" s="10"/>
      <c r="I33" s="10"/>
      <c r="J33" s="10"/>
      <c r="K33" s="10"/>
      <c r="L33" s="11"/>
    </row>
    <row r="34" spans="1:12" ht="15" thickBot="1" x14ac:dyDescent="0.4">
      <c r="A34" s="53" t="s">
        <v>50</v>
      </c>
      <c r="B34" s="54" t="s">
        <v>49</v>
      </c>
      <c r="C34" s="44"/>
      <c r="D34" s="13"/>
      <c r="E34" s="13"/>
      <c r="F34" s="13"/>
      <c r="G34" s="13"/>
      <c r="H34" s="13"/>
      <c r="I34" s="13"/>
      <c r="J34" s="13"/>
      <c r="K34" s="13"/>
      <c r="L34" s="14"/>
    </row>
  </sheetData>
  <mergeCells count="4">
    <mergeCell ref="Q7:S7"/>
    <mergeCell ref="Q19:S20"/>
    <mergeCell ref="A28:L28"/>
    <mergeCell ref="A27:L27"/>
  </mergeCells>
  <conditionalFormatting sqref="C21:I21">
    <cfRule type="cellIs" dxfId="3" priority="3" operator="greaterThan">
      <formula>300</formula>
    </cfRule>
    <cfRule type="cellIs" dxfId="2" priority="4" operator="lessThan">
      <formula>300</formula>
    </cfRule>
  </conditionalFormatting>
  <conditionalFormatting sqref="D26:L2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Hermans</dc:creator>
  <cp:lastModifiedBy>Louis Hermans</cp:lastModifiedBy>
  <dcterms:created xsi:type="dcterms:W3CDTF">2025-03-11T13:06:59Z</dcterms:created>
  <dcterms:modified xsi:type="dcterms:W3CDTF">2025-06-10T10:17:24Z</dcterms:modified>
</cp:coreProperties>
</file>